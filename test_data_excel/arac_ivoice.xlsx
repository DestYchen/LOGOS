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bcloud.bcloud.root\share$\bcloud.root\lo\files-L1\FishMeat\КОНТРАКТЫ МОРЕОДОР\AKERKO  USD СБЕР\2025\1283-25\drafts\"/>
    </mc:Choice>
  </mc:AlternateContent>
  <xr:revisionPtr revIDLastSave="0" documentId="8_{7BC1C7EC-B265-4579-8B7F-D1FD2CE624C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INVOICE" sheetId="4" r:id="rId1"/>
    <sheet name="PAC.LIST" sheetId="2" r:id="rId2"/>
    <sheet name="QUAL.CER." sheetId="3" r:id="rId3"/>
    <sheet name="PRICE LIST" sheetId="5" r:id="rId4"/>
    <sheet name="Sayfa1" sheetId="6" r:id="rId5"/>
  </sheets>
  <definedNames>
    <definedName name="_xlnm.Print_Area" localSheetId="0">INVOICE!$A$1:$AV$53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2" l="1"/>
  <c r="H28" i="2"/>
  <c r="F28" i="2" s="1"/>
  <c r="B23" i="2"/>
  <c r="E28" i="2" l="1"/>
  <c r="B19" i="2"/>
  <c r="B4" i="6" l="1"/>
  <c r="A5" i="6" s="1"/>
  <c r="A6" i="6" l="1"/>
  <c r="F20" i="5" l="1"/>
  <c r="H7" i="2"/>
  <c r="E26" i="3"/>
  <c r="AP33" i="4" l="1"/>
  <c r="B17" i="3"/>
  <c r="B16" i="3"/>
  <c r="D28" i="2"/>
  <c r="B26" i="3" l="1"/>
  <c r="B6" i="6"/>
  <c r="C26" i="3"/>
  <c r="F32" i="2" l="1"/>
  <c r="J32" i="2"/>
  <c r="C31" i="3" l="1"/>
  <c r="D32" i="2"/>
  <c r="B22" i="2" l="1"/>
  <c r="B31" i="3"/>
  <c r="E32" i="2" l="1"/>
  <c r="B18" i="2" l="1"/>
  <c r="I32" i="2" l="1"/>
  <c r="H32" i="2"/>
  <c r="B20" i="2"/>
  <c r="B21" i="2" l="1"/>
  <c r="D26" i="3"/>
  <c r="D31" i="3" l="1"/>
  <c r="AP40" i="4"/>
</calcChain>
</file>

<file path=xl/sharedStrings.xml><?xml version="1.0" encoding="utf-8"?>
<sst xmlns="http://schemas.openxmlformats.org/spreadsheetml/2006/main" count="124" uniqueCount="94">
  <si>
    <t>AMOUNT</t>
  </si>
  <si>
    <t>USD</t>
  </si>
  <si>
    <t>:</t>
  </si>
  <si>
    <t>Date</t>
  </si>
  <si>
    <t>SIZE</t>
  </si>
  <si>
    <t>TURKEY</t>
  </si>
  <si>
    <t>COUNTRY OF ORIGIN</t>
  </si>
  <si>
    <t>DESCRIPTION OF GOODS</t>
  </si>
  <si>
    <t>ITEM</t>
  </si>
  <si>
    <t>INVOICE</t>
  </si>
  <si>
    <t>SELLERS</t>
  </si>
  <si>
    <t>BANK NAME</t>
  </si>
  <si>
    <t>IBAN</t>
  </si>
  <si>
    <t>SWIFT CODE</t>
  </si>
  <si>
    <t>TCZBTR2A</t>
  </si>
  <si>
    <t>PRODUCER NAME</t>
  </si>
  <si>
    <t>EXPORT NUMBER</t>
  </si>
  <si>
    <t>MESSRS</t>
  </si>
  <si>
    <t>TOTAL:</t>
  </si>
  <si>
    <t>CUSTOMS CODE: 030314</t>
  </si>
  <si>
    <t>PACKING LIST</t>
  </si>
  <si>
    <t>SHIPPER:</t>
  </si>
  <si>
    <t>RECEIVER:</t>
  </si>
  <si>
    <t>TOTAL BOXES</t>
  </si>
  <si>
    <t>DESCRIPTION OF THE GOODS</t>
  </si>
  <si>
    <t>CUSTOMS CODE</t>
  </si>
  <si>
    <t>NO. BOX</t>
  </si>
  <si>
    <t>PRODUCTION DATE</t>
  </si>
  <si>
    <t>PALLET NO</t>
  </si>
  <si>
    <t>030314</t>
  </si>
  <si>
    <t>TOTAL</t>
  </si>
  <si>
    <t>EXPIRY DATE:</t>
  </si>
  <si>
    <t>QUALITY CERTIFICATE</t>
  </si>
  <si>
    <t xml:space="preserve">DATE </t>
  </si>
  <si>
    <t>TRUCK PLATE NUMBER</t>
  </si>
  <si>
    <t xml:space="preserve">FACTORY EU APPROVAL NUMBER </t>
  </si>
  <si>
    <t>FROM</t>
  </si>
  <si>
    <t>TO</t>
  </si>
  <si>
    <t>EXPIRY DATE</t>
  </si>
  <si>
    <t>TO BE KEPT UNDER TEMPERATURE -18C</t>
  </si>
  <si>
    <t>CERTIFY THAT ABOVE MENTIONED PRODUCTS ARE FIT FOR HUMAN CONSUMPTION</t>
  </si>
  <si>
    <t>TOTAL NET WEIGHT KGS</t>
  </si>
  <si>
    <t>PALLET WEIGHT KGS</t>
  </si>
  <si>
    <t>TOTAL GROSS WEIGHT KGS</t>
  </si>
  <si>
    <t>NET WEIGHT
KGS</t>
  </si>
  <si>
    <t>GROSS WEIGHT
KGS</t>
  </si>
  <si>
    <t>NET WEIGHT WITH GLAZING
KGS</t>
  </si>
  <si>
    <t>GROSS WEIGHT WITH PALLETS
KGS</t>
  </si>
  <si>
    <t>NET WEIGHT KGS</t>
  </si>
  <si>
    <t>PALLET PCS</t>
  </si>
  <si>
    <t>PRODUCER FACTORY NO</t>
  </si>
  <si>
    <t>ORIGIN OF GOODS</t>
  </si>
  <si>
    <t>GROSS WEIGHT +PL KGS</t>
  </si>
  <si>
    <t>TRABZON / TURKEY</t>
  </si>
  <si>
    <t>TO WHOM IT MAY CONSERN</t>
  </si>
  <si>
    <t>PRICE LIST</t>
  </si>
  <si>
    <t>DATE</t>
  </si>
  <si>
    <t>VALID UNTIL</t>
  </si>
  <si>
    <t>ÜRÜN AÇIKLAMASI</t>
  </si>
  <si>
    <t>FİYAT</t>
  </si>
  <si>
    <t>TRANSPORTATION BY: TRUCK</t>
  </si>
  <si>
    <t>QUANTITY OF CARTONS</t>
  </si>
  <si>
    <t>QUANTITY OF NET WEIGHT</t>
  </si>
  <si>
    <t>KG</t>
  </si>
  <si>
    <t>Ziraat Bankası Trabzon Girişimci Şubesi</t>
  </si>
  <si>
    <t>TR 5900 0100 2107 4820 9282 5006</t>
  </si>
  <si>
    <t>VAT :CARŞIBASI MM-023 030 23 43</t>
  </si>
  <si>
    <t>T: +90 462 821 39 90 F: +90 462 821 21 44</t>
  </si>
  <si>
    <t>MERKEZ MAH. AKMAZ KÜME EVL. NO: 83 ÇARŞIBAŞI/TRABZON</t>
  </si>
  <si>
    <t xml:space="preserve">OOO “MOREODOR”    </t>
  </si>
  <si>
    <t>117292, Profsoyuznaya st. 3, office 412, Moscow, RUSSIA</t>
  </si>
  <si>
    <t>INN(TVA): 7727734159</t>
  </si>
  <si>
    <t>PRICE PER CARTON</t>
  </si>
  <si>
    <t>TR 61-0024</t>
  </si>
  <si>
    <t>ENTERPRICE NUMBER:TR 61-0024</t>
  </si>
  <si>
    <t xml:space="preserve">PRODUCER: </t>
  </si>
  <si>
    <t>Akerko Su Urunleri Sanayi Balikcilik Nak. Tar. Urun. Yet. Tic. Ltd. Sti</t>
  </si>
  <si>
    <t>Merkez Mahallesi Akmaz Kume Evleri № 83 Carsibasi-Trabzon</t>
  </si>
  <si>
    <t>24 MONTHS</t>
  </si>
  <si>
    <t>Akerko Su Urunleri Sanayi Balikcilik Nak. Tar. Urn. Yet. Tic. Ltd. Sti</t>
  </si>
  <si>
    <t>MOSCOW / RUSSIA</t>
  </si>
  <si>
    <t>DELIVERY TERMS: DAP MOSCOW</t>
  </si>
  <si>
    <t>TERM OF DELIVERY: DAP MOSCOW</t>
  </si>
  <si>
    <t xml:space="preserve">INVOICE NUMBER :  </t>
  </si>
  <si>
    <t xml:space="preserve">TRUCK NUMBER: </t>
  </si>
  <si>
    <t>PAYMENT TERMS:100% PAYMENT BEFORE ARRIVING AT COLDSTORE</t>
  </si>
  <si>
    <t>PRICE USD/CARTON BOX</t>
  </si>
  <si>
    <t>CONTRACT NUMBER / DATE : 220521 dd 20.05.22</t>
  </si>
  <si>
    <t>FROZEN RAINBOW TROUT WR IQF (ONCORHYNCHUS MYKISS)</t>
  </si>
  <si>
    <t>61 ZZ 530 /61 AFY 786</t>
  </si>
  <si>
    <t>0,5-0,8 KG</t>
  </si>
  <si>
    <t>FROZEN RAINBOW TROUT WR, IQF (ONCORHYNCHUS MYKISS)  0,5-0,8 KG</t>
  </si>
  <si>
    <r>
      <t>FROZEN RAINBOW TROUT WR, IQF (ONCORHYNCHUS MYKISS) 0,5-0,8</t>
    </r>
    <r>
      <rPr>
        <b/>
        <sz val="11"/>
        <color rgb="FFFF0000"/>
        <rFont val="Calibri"/>
        <family val="2"/>
        <charset val="204"/>
        <scheme val="minor"/>
      </rPr>
      <t xml:space="preserve"> KG</t>
    </r>
  </si>
  <si>
    <r>
      <t>FROZEN RAINBOW TROUT WR (Oncorhynchus mykıss) 0,5-0,8</t>
    </r>
    <r>
      <rPr>
        <b/>
        <sz val="10"/>
        <color rgb="FFFF0000"/>
        <rFont val="Times New Roman"/>
        <family val="1"/>
        <charset val="204"/>
      </rPr>
      <t xml:space="preserve"> KG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</si>
</sst>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* #,##0.00\ _₺_-;\-* #,##0.00\ _₺_-;_-* &quot;-&quot;??\ _₺_-;_-@_-"/>
    <numFmt numFmtId="165" formatCode="#,##0.0000"/>
    <numFmt numFmtId="166" formatCode="_-* #,##0\ _₺_-;\-* #,##0\ _₺_-;_-* &quot;-&quot;??\ _₺_-;_-@_-"/>
    <numFmt numFmtId="167" formatCode="#,##0.00000"/>
    <numFmt numFmtId="168" formatCode="_-[$$-409]* #,##0.00000_ ;_-[$$-409]* \-#,##0.00000\ ;_-[$$-409]* &quot;-&quot;??_ ;_-@_ "/>
    <numFmt numFmtId="169" formatCode="#,##0.000000"/>
    <numFmt numFmtId="170" formatCode="#,##0.0000000"/>
    <numFmt numFmtId="171" formatCode="_-[$$-409]* #,##0.0000000_ ;_-[$$-409]* \-#,##0.0000000\ ;_-[$$-409]* &quot;-&quot;??_ ;_-@_ "/>
    <numFmt numFmtId="172" formatCode="_-[$$-409]* #,##0.000000_ ;_-[$$-409]* \-#,##0.000000\ ;_-[$$-409]* &quot;-&quot;??_ ;_-@_ "/>
    <numFmt numFmtId="173" formatCode="_-* #,##0.000\ _₺_-;\-* #,##0.000\ _₺_-;_-* &quot;-&quot;??\ _₺_-;_-@_-"/>
    <numFmt numFmtId="174" formatCode="_-* #,##0.00000_-;\-* #,##0.00000_-;_-* &quot;-&quot;??_-;_-@_-"/>
    <numFmt numFmtId="175" formatCode="#,##0.000000_ ;\-#,##0.000000\ "/>
  </numFmts>
  <fonts count="42">
    <font>
      <sz val="10"/>
      <name val="Arial Tur"/>
      <charset val="162"/>
    </font>
    <font>
      <sz val="8"/>
      <name val="Arial Tur"/>
      <charset val="162"/>
    </font>
    <font>
      <b/>
      <sz val="10"/>
      <name val="Times New Roman"/>
      <family val="1"/>
      <charset val="162"/>
    </font>
    <font>
      <sz val="10"/>
      <name val="Times New Roman"/>
      <family val="1"/>
      <charset val="162"/>
    </font>
    <font>
      <b/>
      <sz val="9"/>
      <name val="Times New Roman"/>
      <family val="1"/>
      <charset val="162"/>
    </font>
    <font>
      <sz val="7"/>
      <name val="Times New Roman"/>
      <family val="1"/>
      <charset val="162"/>
    </font>
    <font>
      <sz val="6"/>
      <name val="Times New Roman"/>
      <family val="1"/>
      <charset val="162"/>
    </font>
    <font>
      <b/>
      <u/>
      <sz val="10"/>
      <name val="Times New Roman"/>
      <family val="1"/>
      <charset val="162"/>
    </font>
    <font>
      <u/>
      <sz val="10"/>
      <color theme="10"/>
      <name val="Arial Tur"/>
      <charset val="162"/>
    </font>
    <font>
      <b/>
      <sz val="10"/>
      <color theme="1"/>
      <name val="Arial"/>
      <family val="2"/>
      <charset val="162"/>
    </font>
    <font>
      <b/>
      <sz val="10"/>
      <color theme="1"/>
      <name val="Times New Roman"/>
      <family val="1"/>
      <charset val="162"/>
    </font>
    <font>
      <b/>
      <sz val="10"/>
      <color rgb="FFFF0000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5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b/>
      <u/>
      <sz val="11"/>
      <name val="Times New Roman"/>
      <family val="1"/>
      <charset val="162"/>
    </font>
    <font>
      <sz val="11"/>
      <name val="Arial Tur"/>
      <charset val="162"/>
    </font>
    <font>
      <sz val="10"/>
      <name val="Arial Tur"/>
      <charset val="162"/>
    </font>
    <font>
      <b/>
      <sz val="10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  <font>
      <b/>
      <sz val="11"/>
      <name val="Times New Roman"/>
      <family val="1"/>
      <charset val="162"/>
    </font>
    <font>
      <b/>
      <sz val="10"/>
      <name val="Arial Tur"/>
      <charset val="204"/>
    </font>
    <font>
      <sz val="11"/>
      <color theme="1"/>
      <name val="Calibri"/>
      <family val="2"/>
      <charset val="162"/>
      <scheme val="minor"/>
    </font>
    <font>
      <b/>
      <sz val="11"/>
      <name val="Times New Roman"/>
      <family val="1"/>
    </font>
    <font>
      <b/>
      <sz val="10"/>
      <name val="Arial Tur"/>
      <charset val="162"/>
    </font>
    <font>
      <b/>
      <sz val="10.5"/>
      <color rgb="FF000000"/>
      <name val="Times New Roman"/>
      <family val="1"/>
      <charset val="162"/>
    </font>
    <font>
      <b/>
      <sz val="10"/>
      <name val="Arial"/>
      <family val="2"/>
      <charset val="162"/>
    </font>
    <font>
      <sz val="12"/>
      <color rgb="FF00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sz val="7"/>
      <name val="Arial Tur"/>
      <charset val="162"/>
    </font>
    <font>
      <b/>
      <sz val="10"/>
      <color rgb="FFFF0000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FF0000"/>
      <name val="Times New Roman"/>
      <family val="1"/>
      <charset val="162"/>
    </font>
    <font>
      <b/>
      <sz val="11"/>
      <color rgb="FFFF0000"/>
      <name val="Calibri"/>
      <family val="2"/>
      <charset val="162"/>
      <scheme val="minor"/>
    </font>
    <font>
      <b/>
      <u/>
      <sz val="10"/>
      <color rgb="FFFF0000"/>
      <name val="Arial Tur"/>
      <charset val="162"/>
    </font>
    <font>
      <sz val="11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164" fontId="23" fillId="0" borderId="0" applyFont="0" applyFill="0" applyBorder="0" applyAlignment="0" applyProtection="0"/>
  </cellStyleXfs>
  <cellXfs count="18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vertical="center"/>
    </xf>
    <xf numFmtId="0" fontId="2" fillId="0" borderId="1" xfId="0" applyFont="1" applyBorder="1"/>
    <xf numFmtId="0" fontId="3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4" fontId="2" fillId="0" borderId="0" xfId="0" applyNumberFormat="1" applyFont="1" applyAlignment="1">
      <alignment horizontal="right"/>
    </xf>
    <xf numFmtId="4" fontId="2" fillId="0" borderId="0" xfId="0" applyNumberFormat="1" applyFont="1"/>
    <xf numFmtId="0" fontId="11" fillId="0" borderId="0" xfId="0" applyFont="1"/>
    <xf numFmtId="0" fontId="12" fillId="2" borderId="0" xfId="0" applyFont="1" applyFill="1"/>
    <xf numFmtId="0" fontId="0" fillId="2" borderId="0" xfId="0" applyFill="1"/>
    <xf numFmtId="0" fontId="12" fillId="0" borderId="0" xfId="0" applyFont="1"/>
    <xf numFmtId="0" fontId="12" fillId="2" borderId="4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" fontId="17" fillId="0" borderId="3" xfId="0" applyNumberFormat="1" applyFont="1" applyBorder="1" applyAlignment="1">
      <alignment horizontal="center" vertical="center"/>
    </xf>
    <xf numFmtId="4" fontId="17" fillId="0" borderId="3" xfId="0" applyNumberFormat="1" applyFont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0" fillId="2" borderId="3" xfId="0" applyFill="1" applyBorder="1"/>
    <xf numFmtId="0" fontId="19" fillId="0" borderId="0" xfId="0" applyFont="1"/>
    <xf numFmtId="4" fontId="0" fillId="0" borderId="0" xfId="0" applyNumberFormat="1"/>
    <xf numFmtId="165" fontId="0" fillId="0" borderId="0" xfId="0" applyNumberFormat="1"/>
    <xf numFmtId="0" fontId="12" fillId="0" borderId="3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14" fontId="12" fillId="0" borderId="0" xfId="0" applyNumberFormat="1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5" fillId="0" borderId="0" xfId="0" applyFont="1"/>
    <xf numFmtId="0" fontId="20" fillId="0" borderId="0" xfId="0" applyFont="1"/>
    <xf numFmtId="0" fontId="20" fillId="0" borderId="0" xfId="0" applyFont="1" applyAlignment="1">
      <alignment horizontal="left"/>
    </xf>
    <xf numFmtId="0" fontId="15" fillId="2" borderId="3" xfId="0" applyFont="1" applyFill="1" applyBorder="1" applyAlignment="1">
      <alignment horizontal="left" vertical="center"/>
    </xf>
    <xf numFmtId="14" fontId="15" fillId="0" borderId="3" xfId="0" applyNumberFormat="1" applyFont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4" fontId="15" fillId="2" borderId="3" xfId="0" applyNumberFormat="1" applyFont="1" applyFill="1" applyBorder="1" applyAlignment="1">
      <alignment horizontal="right"/>
    </xf>
    <xf numFmtId="0" fontId="15" fillId="0" borderId="3" xfId="0" applyFont="1" applyBorder="1"/>
    <xf numFmtId="0" fontId="15" fillId="0" borderId="3" xfId="0" applyFont="1" applyBorder="1" applyAlignment="1">
      <alignment horizontal="right"/>
    </xf>
    <xf numFmtId="164" fontId="2" fillId="0" borderId="0" xfId="2" applyFont="1" applyBorder="1" applyAlignment="1">
      <alignment vertical="center"/>
    </xf>
    <xf numFmtId="164" fontId="2" fillId="0" borderId="0" xfId="2" applyFont="1" applyBorder="1" applyAlignment="1">
      <alignment horizontal="center" vertical="center"/>
    </xf>
    <xf numFmtId="0" fontId="15" fillId="2" borderId="0" xfId="0" applyFont="1" applyFill="1"/>
    <xf numFmtId="0" fontId="0" fillId="2" borderId="0" xfId="0" applyFill="1" applyAlignment="1">
      <alignment horizontal="center"/>
    </xf>
    <xf numFmtId="0" fontId="0" fillId="0" borderId="9" xfId="0" applyBorder="1"/>
    <xf numFmtId="0" fontId="12" fillId="0" borderId="10" xfId="0" applyFont="1" applyBorder="1"/>
    <xf numFmtId="0" fontId="0" fillId="0" borderId="10" xfId="0" applyBorder="1"/>
    <xf numFmtId="0" fontId="0" fillId="0" borderId="11" xfId="0" applyBorder="1"/>
    <xf numFmtId="0" fontId="12" fillId="0" borderId="6" xfId="0" applyFont="1" applyBorder="1"/>
    <xf numFmtId="0" fontId="12" fillId="0" borderId="12" xfId="0" applyFont="1" applyBorder="1"/>
    <xf numFmtId="0" fontId="12" fillId="0" borderId="13" xfId="0" applyFont="1" applyBorder="1"/>
    <xf numFmtId="0" fontId="12" fillId="0" borderId="7" xfId="0" applyFont="1" applyBorder="1"/>
    <xf numFmtId="0" fontId="12" fillId="0" borderId="9" xfId="0" applyFont="1" applyBorder="1"/>
    <xf numFmtId="0" fontId="12" fillId="0" borderId="11" xfId="0" applyFont="1" applyBorder="1"/>
    <xf numFmtId="0" fontId="24" fillId="0" borderId="0" xfId="0" applyFont="1" applyAlignment="1">
      <alignment horizontal="left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4" xfId="0" applyFont="1" applyBorder="1" applyAlignment="1">
      <alignment vertical="center"/>
    </xf>
    <xf numFmtId="166" fontId="2" fillId="0" borderId="0" xfId="2" applyNumberFormat="1" applyFont="1" applyBorder="1" applyAlignment="1">
      <alignment horizontal="center" vertical="center"/>
    </xf>
    <xf numFmtId="0" fontId="25" fillId="0" borderId="6" xfId="0" applyFont="1" applyBorder="1"/>
    <xf numFmtId="4" fontId="17" fillId="0" borderId="0" xfId="0" applyNumberFormat="1" applyFont="1" applyAlignment="1">
      <alignment horizontal="center" vertical="center"/>
    </xf>
    <xf numFmtId="1" fontId="12" fillId="0" borderId="3" xfId="0" applyNumberFormat="1" applyFont="1" applyBorder="1" applyAlignment="1">
      <alignment horizontal="center"/>
    </xf>
    <xf numFmtId="0" fontId="25" fillId="0" borderId="14" xfId="0" applyFont="1" applyBorder="1" applyAlignment="1">
      <alignment horizontal="center" vertical="center"/>
    </xf>
    <xf numFmtId="2" fontId="0" fillId="0" borderId="0" xfId="0" applyNumberFormat="1"/>
    <xf numFmtId="166" fontId="2" fillId="0" borderId="0" xfId="0" applyNumberFormat="1" applyFont="1"/>
    <xf numFmtId="0" fontId="0" fillId="0" borderId="0" xfId="0" applyAlignment="1">
      <alignment horizontal="center"/>
    </xf>
    <xf numFmtId="1" fontId="28" fillId="0" borderId="3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3" fontId="17" fillId="0" borderId="3" xfId="0" applyNumberFormat="1" applyFont="1" applyBorder="1" applyAlignment="1">
      <alignment horizontal="center" vertical="center"/>
    </xf>
    <xf numFmtId="4" fontId="12" fillId="0" borderId="3" xfId="0" applyNumberFormat="1" applyFont="1" applyBorder="1" applyAlignment="1">
      <alignment horizontal="center"/>
    </xf>
    <xf numFmtId="4" fontId="15" fillId="0" borderId="3" xfId="0" applyNumberFormat="1" applyFont="1" applyBorder="1" applyAlignment="1">
      <alignment horizontal="center"/>
    </xf>
    <xf numFmtId="49" fontId="18" fillId="0" borderId="20" xfId="0" applyNumberFormat="1" applyFont="1" applyBorder="1" applyAlignment="1">
      <alignment horizontal="center" vertical="center"/>
    </xf>
    <xf numFmtId="3" fontId="17" fillId="0" borderId="18" xfId="0" applyNumberFormat="1" applyFont="1" applyBorder="1" applyAlignment="1">
      <alignment horizontal="center" vertical="center"/>
    </xf>
    <xf numFmtId="4" fontId="17" fillId="0" borderId="18" xfId="0" applyNumberFormat="1" applyFont="1" applyBorder="1" applyAlignment="1">
      <alignment horizontal="center" vertical="center"/>
    </xf>
    <xf numFmtId="14" fontId="15" fillId="0" borderId="18" xfId="0" applyNumberFormat="1" applyFont="1" applyBorder="1" applyAlignment="1">
      <alignment horizontal="center" vertical="center" wrapText="1"/>
    </xf>
    <xf numFmtId="4" fontId="17" fillId="0" borderId="18" xfId="0" applyNumberFormat="1" applyFont="1" applyBorder="1" applyAlignment="1">
      <alignment horizontal="center"/>
    </xf>
    <xf numFmtId="49" fontId="18" fillId="0" borderId="23" xfId="0" applyNumberFormat="1" applyFont="1" applyBorder="1" applyAlignment="1">
      <alignment horizontal="center" vertical="center"/>
    </xf>
    <xf numFmtId="3" fontId="17" fillId="0" borderId="19" xfId="0" applyNumberFormat="1" applyFont="1" applyBorder="1" applyAlignment="1">
      <alignment horizontal="center" vertical="center"/>
    </xf>
    <xf numFmtId="4" fontId="17" fillId="0" borderId="19" xfId="0" applyNumberFormat="1" applyFont="1" applyBorder="1" applyAlignment="1">
      <alignment horizontal="center" vertical="center"/>
    </xf>
    <xf numFmtId="14" fontId="15" fillId="0" borderId="19" xfId="0" applyNumberFormat="1" applyFont="1" applyBorder="1" applyAlignment="1">
      <alignment horizontal="center" vertical="center" wrapText="1"/>
    </xf>
    <xf numFmtId="4" fontId="17" fillId="0" borderId="19" xfId="0" applyNumberFormat="1" applyFont="1" applyBorder="1" applyAlignment="1">
      <alignment horizontal="center"/>
    </xf>
    <xf numFmtId="0" fontId="31" fillId="0" borderId="0" xfId="0" applyFont="1"/>
    <xf numFmtId="14" fontId="30" fillId="0" borderId="0" xfId="0" applyNumberFormat="1" applyFont="1"/>
    <xf numFmtId="0" fontId="32" fillId="0" borderId="0" xfId="0" applyFont="1"/>
    <xf numFmtId="0" fontId="32" fillId="0" borderId="0" xfId="0" applyFont="1" applyAlignment="1">
      <alignment horizontal="left" vertical="center"/>
    </xf>
    <xf numFmtId="4" fontId="15" fillId="2" borderId="0" xfId="0" applyNumberFormat="1" applyFont="1" applyFill="1" applyAlignment="1">
      <alignment horizontal="left"/>
    </xf>
    <xf numFmtId="43" fontId="2" fillId="0" borderId="0" xfId="0" applyNumberFormat="1" applyFont="1"/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43" fontId="12" fillId="0" borderId="0" xfId="0" applyNumberFormat="1" applyFont="1"/>
    <xf numFmtId="3" fontId="17" fillId="0" borderId="5" xfId="0" applyNumberFormat="1" applyFont="1" applyBorder="1" applyAlignment="1">
      <alignment horizontal="center" vertical="center"/>
    </xf>
    <xf numFmtId="164" fontId="0" fillId="0" borderId="0" xfId="2" applyFont="1"/>
    <xf numFmtId="173" fontId="0" fillId="0" borderId="0" xfId="2" applyNumberFormat="1" applyFont="1"/>
    <xf numFmtId="174" fontId="0" fillId="0" borderId="0" xfId="0" applyNumberFormat="1"/>
    <xf numFmtId="0" fontId="35" fillId="0" borderId="0" xfId="0" applyFont="1"/>
    <xf numFmtId="175" fontId="0" fillId="0" borderId="0" xfId="2" applyNumberFormat="1" applyFont="1"/>
    <xf numFmtId="14" fontId="39" fillId="0" borderId="7" xfId="0" applyNumberFormat="1" applyFont="1" applyBorder="1"/>
    <xf numFmtId="0" fontId="40" fillId="0" borderId="0" xfId="1" applyFont="1" applyBorder="1"/>
    <xf numFmtId="4" fontId="15" fillId="0" borderId="3" xfId="0" applyNumberFormat="1" applyFont="1" applyBorder="1"/>
    <xf numFmtId="3" fontId="15" fillId="0" borderId="3" xfId="0" applyNumberFormat="1" applyFont="1" applyBorder="1"/>
    <xf numFmtId="4" fontId="41" fillId="0" borderId="3" xfId="0" applyNumberFormat="1" applyFont="1" applyBorder="1" applyAlignment="1">
      <alignment horizontal="center" vertical="center"/>
    </xf>
    <xf numFmtId="4" fontId="41" fillId="0" borderId="3" xfId="0" applyNumberFormat="1" applyFont="1" applyBorder="1" applyAlignment="1">
      <alignment horizontal="center"/>
    </xf>
    <xf numFmtId="4" fontId="39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0" xfId="2" applyFont="1" applyBorder="1" applyAlignment="1">
      <alignment horizontal="center"/>
    </xf>
    <xf numFmtId="169" fontId="11" fillId="0" borderId="0" xfId="0" applyNumberFormat="1" applyFont="1" applyAlignment="1">
      <alignment horizontal="center" wrapText="1"/>
    </xf>
    <xf numFmtId="170" fontId="2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7" fillId="0" borderId="0" xfId="1" applyFont="1" applyBorder="1" applyAlignment="1">
      <alignment horizontal="left"/>
    </xf>
    <xf numFmtId="4" fontId="2" fillId="0" borderId="0" xfId="0" applyNumberFormat="1" applyFont="1" applyAlignment="1">
      <alignment horizontal="center" wrapText="1"/>
    </xf>
    <xf numFmtId="4" fontId="2" fillId="0" borderId="24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4" fontId="2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" fontId="11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7" fillId="0" borderId="2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6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10" fillId="0" borderId="14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172" fontId="38" fillId="0" borderId="14" xfId="2" applyNumberFormat="1" applyFont="1" applyBorder="1" applyAlignment="1">
      <alignment horizontal="center" vertical="center"/>
    </xf>
    <xf numFmtId="172" fontId="38" fillId="0" borderId="13" xfId="2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wrapText="1"/>
    </xf>
    <xf numFmtId="171" fontId="25" fillId="0" borderId="14" xfId="2" applyNumberFormat="1" applyFont="1" applyBorder="1" applyAlignment="1">
      <alignment horizontal="center" vertical="center"/>
    </xf>
    <xf numFmtId="171" fontId="25" fillId="0" borderId="13" xfId="2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8" fontId="26" fillId="0" borderId="0" xfId="2" applyNumberFormat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4" fillId="0" borderId="0" xfId="0" applyFont="1" applyAlignment="1">
      <alignment horizontal="left"/>
    </xf>
    <xf numFmtId="0" fontId="12" fillId="0" borderId="10" xfId="0" applyFont="1" applyBorder="1" applyAlignment="1">
      <alignment horizontal="center"/>
    </xf>
    <xf numFmtId="14" fontId="39" fillId="0" borderId="7" xfId="0" applyNumberFormat="1" applyFont="1" applyBorder="1" applyAlignment="1">
      <alignment horizontal="center"/>
    </xf>
    <xf numFmtId="0" fontId="39" fillId="0" borderId="8" xfId="0" applyFont="1" applyBorder="1" applyAlignment="1">
      <alignment horizontal="center"/>
    </xf>
    <xf numFmtId="169" fontId="2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0" borderId="8" xfId="0" applyFont="1" applyBorder="1" applyAlignment="1">
      <alignment horizontal="center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AV52"/>
  <sheetViews>
    <sheetView view="pageBreakPreview" topLeftCell="A10" zoomScaleNormal="100" zoomScaleSheetLayoutView="100" workbookViewId="0">
      <selection activeCell="D39" sqref="D39"/>
    </sheetView>
  </sheetViews>
  <sheetFormatPr defaultColWidth="1.6640625" defaultRowHeight="13.2"/>
  <cols>
    <col min="1" max="1" width="11" style="1" bestFit="1" customWidth="1"/>
    <col min="2" max="3" width="1.6640625" style="1"/>
    <col min="4" max="4" width="8.33203125" style="1" customWidth="1"/>
    <col min="5" max="6" width="1.6640625" style="1"/>
    <col min="7" max="7" width="1.88671875" style="1" customWidth="1"/>
    <col min="8" max="8" width="7.44140625" style="1" bestFit="1" customWidth="1"/>
    <col min="9" max="10" width="1.6640625" style="1"/>
    <col min="11" max="11" width="3" style="1" customWidth="1"/>
    <col min="12" max="13" width="8.33203125" style="1" bestFit="1" customWidth="1"/>
    <col min="14" max="14" width="8.33203125" style="1" customWidth="1"/>
    <col min="15" max="16" width="1.109375" style="1" customWidth="1"/>
    <col min="17" max="17" width="2.6640625" style="1" customWidth="1"/>
    <col min="18" max="18" width="15.44140625" style="1" customWidth="1"/>
    <col min="19" max="21" width="1.6640625" style="1" hidden="1" customWidth="1"/>
    <col min="22" max="22" width="2.33203125" style="1" customWidth="1"/>
    <col min="23" max="23" width="1.88671875" style="1" customWidth="1"/>
    <col min="24" max="24" width="3.5546875" style="1" hidden="1" customWidth="1"/>
    <col min="25" max="25" width="1.6640625" style="1"/>
    <col min="26" max="26" width="1.44140625" style="1" customWidth="1"/>
    <col min="27" max="27" width="3" style="1" customWidth="1"/>
    <col min="28" max="28" width="2" style="1" customWidth="1"/>
    <col min="29" max="37" width="1.6640625" style="1"/>
    <col min="38" max="38" width="1.109375" style="1" customWidth="1"/>
    <col min="39" max="41" width="1.6640625" style="1" hidden="1" customWidth="1"/>
    <col min="42" max="42" width="6.33203125" style="1" customWidth="1"/>
    <col min="43" max="43" width="1.6640625" style="1"/>
    <col min="44" max="44" width="5.109375" style="1" customWidth="1"/>
    <col min="45" max="45" width="2.33203125" style="1" customWidth="1"/>
    <col min="46" max="16384" width="1.6640625" style="1"/>
  </cols>
  <sheetData>
    <row r="6" spans="1:48">
      <c r="L6" s="112"/>
    </row>
    <row r="8" spans="1:48" ht="13.8">
      <c r="A8" s="52" t="s">
        <v>9</v>
      </c>
    </row>
    <row r="10" spans="1:48">
      <c r="A10" s="126" t="s">
        <v>83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</row>
    <row r="11" spans="1:48" ht="13.8" thickBot="1">
      <c r="A11" s="8" t="s">
        <v>3</v>
      </c>
      <c r="B11" s="8"/>
      <c r="C11" s="8"/>
      <c r="D11" s="8" t="s">
        <v>2</v>
      </c>
      <c r="E11" s="127">
        <v>45855</v>
      </c>
      <c r="F11" s="127"/>
      <c r="G11" s="127"/>
      <c r="H11" s="127"/>
      <c r="I11" s="127"/>
      <c r="J11" s="127"/>
    </row>
    <row r="12" spans="1:48" ht="13.8" thickTop="1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</row>
    <row r="13" spans="1:48" ht="13.8" thickBot="1">
      <c r="A13" s="8" t="s">
        <v>10</v>
      </c>
      <c r="B13" s="8"/>
      <c r="C13" s="8"/>
      <c r="D13" s="8"/>
      <c r="E13" s="8"/>
      <c r="F13" s="8"/>
      <c r="G13" s="8"/>
      <c r="AU13" s="10"/>
    </row>
    <row r="14" spans="1:48" ht="13.8" thickTop="1">
      <c r="A14" s="11" t="s">
        <v>79</v>
      </c>
    </row>
    <row r="15" spans="1:48">
      <c r="A15" s="1" t="s">
        <v>68</v>
      </c>
      <c r="AV15" s="12"/>
    </row>
    <row r="16" spans="1:48">
      <c r="A16" s="1" t="s">
        <v>66</v>
      </c>
      <c r="AV16" s="12"/>
    </row>
    <row r="17" spans="1:48">
      <c r="A17" s="1" t="s">
        <v>67</v>
      </c>
      <c r="AV17" s="12"/>
    </row>
    <row r="18" spans="1:48">
      <c r="AV18" s="12"/>
    </row>
    <row r="19" spans="1:48" ht="15" customHeight="1">
      <c r="A19" s="16" t="s">
        <v>17</v>
      </c>
      <c r="AV19" s="7"/>
    </row>
    <row r="20" spans="1:48">
      <c r="A20" s="101" t="s">
        <v>69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AP20" s="104"/>
    </row>
    <row r="21" spans="1:48">
      <c r="A21" s="102" t="s">
        <v>70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AP21" s="104"/>
      <c r="AV21" s="7"/>
    </row>
    <row r="22" spans="1:48">
      <c r="A22" s="17" t="s">
        <v>71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AV22" s="7"/>
    </row>
    <row r="23" spans="1:48" ht="13.8">
      <c r="A23" s="99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AV23" s="7"/>
    </row>
    <row r="24" spans="1:48">
      <c r="A24" s="133" t="s">
        <v>87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AR24" s="7"/>
      <c r="AS24" s="7"/>
      <c r="AT24" s="7"/>
      <c r="AU24" s="7"/>
    </row>
    <row r="25" spans="1:48">
      <c r="A25" s="17" t="s">
        <v>81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1:48">
      <c r="A26" s="115" t="s">
        <v>85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48">
      <c r="A27" s="132" t="s">
        <v>84</v>
      </c>
      <c r="B27" s="132"/>
      <c r="C27" s="132"/>
      <c r="D27" s="132"/>
      <c r="E27" s="121" t="s">
        <v>89</v>
      </c>
      <c r="F27" s="121"/>
      <c r="G27" s="121"/>
      <c r="H27" s="121"/>
      <c r="I27" s="121"/>
      <c r="J27" s="121"/>
      <c r="K27" s="121"/>
      <c r="L27" s="121"/>
    </row>
    <row r="28" spans="1:48" ht="13.8" thickBot="1">
      <c r="A28" s="8" t="s">
        <v>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48" ht="13.8" thickTop="1">
      <c r="A29" s="1" t="s">
        <v>6</v>
      </c>
      <c r="N29" s="9"/>
      <c r="O29" s="1" t="s">
        <v>2</v>
      </c>
      <c r="P29" s="1" t="s">
        <v>5</v>
      </c>
    </row>
    <row r="30" spans="1:48">
      <c r="A30" s="1" t="s">
        <v>8</v>
      </c>
      <c r="O30" s="1" t="s">
        <v>2</v>
      </c>
      <c r="P30" s="1" t="s">
        <v>88</v>
      </c>
      <c r="AH30" s="14"/>
      <c r="AI30" s="15"/>
    </row>
    <row r="31" spans="1:48">
      <c r="A31" s="48" t="s">
        <v>19</v>
      </c>
      <c r="P31" s="9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</row>
    <row r="32" spans="1:48" ht="30.75" customHeight="1" thickBot="1">
      <c r="A32" s="128" t="s">
        <v>4</v>
      </c>
      <c r="B32" s="128"/>
      <c r="C32" s="128"/>
      <c r="D32" s="128"/>
      <c r="H32" s="129" t="s">
        <v>62</v>
      </c>
      <c r="I32" s="129"/>
      <c r="J32" s="129"/>
      <c r="K32" s="129"/>
      <c r="L32" s="129"/>
      <c r="M32" s="129"/>
      <c r="N32" s="129"/>
      <c r="R32" s="131" t="s">
        <v>61</v>
      </c>
      <c r="S32" s="131"/>
      <c r="T32" s="131"/>
      <c r="U32" s="131"/>
      <c r="V32" s="131"/>
      <c r="W32" s="131"/>
      <c r="X32" s="131"/>
      <c r="Y32" s="2"/>
      <c r="Z32" s="2"/>
      <c r="AA32" s="2"/>
      <c r="AB32" s="130" t="s">
        <v>72</v>
      </c>
      <c r="AC32" s="130"/>
      <c r="AD32" s="130"/>
      <c r="AE32" s="130"/>
      <c r="AF32" s="130"/>
      <c r="AG32" s="130"/>
      <c r="AH32" s="130"/>
      <c r="AI32" s="130"/>
      <c r="AJ32" s="130"/>
      <c r="AK32" s="2"/>
      <c r="AL32" s="2"/>
      <c r="AM32" s="2"/>
      <c r="AP32" s="129" t="s">
        <v>0</v>
      </c>
      <c r="AQ32" s="129"/>
      <c r="AR32" s="129"/>
      <c r="AS32" s="129"/>
      <c r="AT32" s="129"/>
      <c r="AU32" s="129"/>
    </row>
    <row r="33" spans="1:48" ht="14.4" thickTop="1" thickBot="1">
      <c r="A33" s="121" t="s">
        <v>90</v>
      </c>
      <c r="B33" s="121"/>
      <c r="C33" s="121"/>
      <c r="D33" s="121"/>
      <c r="E33" s="2"/>
      <c r="F33" s="2"/>
      <c r="G33" s="20"/>
      <c r="H33" s="123">
        <v>19213.72</v>
      </c>
      <c r="I33" s="123"/>
      <c r="J33" s="123"/>
      <c r="K33" s="123"/>
      <c r="L33" s="123"/>
      <c r="M33" s="123"/>
      <c r="N33" s="11" t="s">
        <v>63</v>
      </c>
      <c r="R33" s="75">
        <v>745</v>
      </c>
      <c r="S33" s="57"/>
      <c r="T33" s="57"/>
      <c r="U33" s="57"/>
      <c r="V33" s="58"/>
      <c r="W33" s="57"/>
      <c r="X33" s="57"/>
      <c r="Y33" s="57"/>
      <c r="Z33" s="57"/>
      <c r="AA33" s="124">
        <v>109.608469</v>
      </c>
      <c r="AB33" s="124"/>
      <c r="AC33" s="124"/>
      <c r="AD33" s="124"/>
      <c r="AE33" s="124"/>
      <c r="AF33" s="124"/>
      <c r="AG33" s="124"/>
      <c r="AH33" s="122" t="s">
        <v>1</v>
      </c>
      <c r="AI33" s="122"/>
      <c r="AJ33" s="122"/>
      <c r="AK33" s="11"/>
      <c r="AL33" s="11"/>
      <c r="AM33" s="11"/>
      <c r="AO33" s="3"/>
      <c r="AP33" s="135">
        <f>R33*AA33</f>
        <v>81658.309404999993</v>
      </c>
      <c r="AQ33" s="135"/>
      <c r="AR33" s="135"/>
      <c r="AS33" s="121" t="s">
        <v>1</v>
      </c>
      <c r="AT33" s="121"/>
      <c r="AU33" s="121"/>
      <c r="AV33" s="121"/>
    </row>
    <row r="34" spans="1:48" ht="14.4" thickTop="1" thickBot="1">
      <c r="A34" s="121"/>
      <c r="B34" s="121"/>
      <c r="C34" s="121"/>
      <c r="D34" s="121"/>
      <c r="E34" s="2"/>
      <c r="F34" s="2"/>
      <c r="G34" s="20"/>
      <c r="H34" s="123"/>
      <c r="I34" s="123"/>
      <c r="J34" s="123"/>
      <c r="K34" s="123"/>
      <c r="L34" s="123"/>
      <c r="M34" s="123"/>
      <c r="N34" s="11"/>
      <c r="R34" s="75"/>
      <c r="S34" s="57"/>
      <c r="T34" s="57"/>
      <c r="U34" s="57"/>
      <c r="V34" s="58"/>
      <c r="W34" s="57"/>
      <c r="X34" s="57"/>
      <c r="Y34" s="57"/>
      <c r="Z34" s="57"/>
      <c r="AA34" s="125"/>
      <c r="AB34" s="125"/>
      <c r="AC34" s="125"/>
      <c r="AD34" s="125"/>
      <c r="AE34" s="125"/>
      <c r="AF34" s="125"/>
      <c r="AG34" s="125"/>
      <c r="AH34" s="122"/>
      <c r="AI34" s="122"/>
      <c r="AJ34" s="122"/>
      <c r="AK34" s="11"/>
      <c r="AL34" s="11"/>
      <c r="AM34" s="11"/>
      <c r="AO34" s="3"/>
      <c r="AP34" s="135"/>
      <c r="AQ34" s="135"/>
      <c r="AR34" s="135"/>
      <c r="AS34" s="136"/>
      <c r="AT34" s="136"/>
      <c r="AU34" s="136"/>
      <c r="AV34" s="2"/>
    </row>
    <row r="35" spans="1:48" ht="14.4" thickTop="1" thickBot="1">
      <c r="A35" s="121"/>
      <c r="B35" s="121"/>
      <c r="C35" s="121"/>
      <c r="D35" s="121"/>
      <c r="E35" s="2"/>
      <c r="F35" s="2"/>
      <c r="G35" s="20"/>
      <c r="H35" s="123"/>
      <c r="I35" s="123"/>
      <c r="J35" s="123"/>
      <c r="K35" s="123"/>
      <c r="L35" s="123"/>
      <c r="M35" s="123"/>
      <c r="N35" s="11"/>
      <c r="R35" s="75"/>
      <c r="S35" s="57"/>
      <c r="T35" s="57"/>
      <c r="U35" s="57"/>
      <c r="V35" s="58"/>
      <c r="W35" s="57"/>
      <c r="X35" s="57"/>
      <c r="Y35" s="57"/>
      <c r="Z35" s="57"/>
      <c r="AA35" s="125"/>
      <c r="AB35" s="125"/>
      <c r="AC35" s="125"/>
      <c r="AD35" s="125"/>
      <c r="AE35" s="125"/>
      <c r="AF35" s="125"/>
      <c r="AG35" s="125"/>
      <c r="AH35" s="122"/>
      <c r="AI35" s="122"/>
      <c r="AJ35" s="122"/>
      <c r="AK35" s="11"/>
      <c r="AL35" s="11"/>
      <c r="AM35" s="11"/>
      <c r="AO35" s="3"/>
      <c r="AP35" s="137"/>
      <c r="AQ35" s="137"/>
      <c r="AR35" s="137"/>
      <c r="AS35" s="121"/>
      <c r="AT35" s="121"/>
      <c r="AU35" s="121"/>
      <c r="AV35" s="121"/>
    </row>
    <row r="36" spans="1:48" ht="14.4" thickTop="1" thickBot="1">
      <c r="A36" s="121"/>
      <c r="B36" s="121"/>
      <c r="C36" s="121"/>
      <c r="D36" s="121"/>
      <c r="E36" s="2"/>
      <c r="F36" s="2"/>
      <c r="G36" s="20"/>
      <c r="H36" s="123"/>
      <c r="I36" s="123"/>
      <c r="J36" s="123"/>
      <c r="K36" s="123"/>
      <c r="L36" s="123"/>
      <c r="M36" s="123"/>
      <c r="N36" s="11"/>
      <c r="R36" s="75"/>
      <c r="S36" s="2"/>
      <c r="T36" s="2"/>
      <c r="U36" s="11"/>
      <c r="V36" s="2"/>
      <c r="W36" s="2"/>
      <c r="X36" s="2"/>
      <c r="Y36" s="2"/>
      <c r="Z36" s="2"/>
      <c r="AA36" s="2"/>
      <c r="AB36" s="144"/>
      <c r="AC36" s="144"/>
      <c r="AD36" s="144"/>
      <c r="AE36" s="144"/>
      <c r="AF36" s="144"/>
      <c r="AG36" s="144"/>
      <c r="AH36" s="122"/>
      <c r="AI36" s="122"/>
      <c r="AJ36" s="122"/>
      <c r="AK36" s="11"/>
      <c r="AL36" s="11"/>
      <c r="AM36" s="11"/>
      <c r="AO36" s="3"/>
      <c r="AP36" s="137"/>
      <c r="AQ36" s="137"/>
      <c r="AR36" s="137"/>
      <c r="AS36" s="121"/>
      <c r="AT36" s="121"/>
      <c r="AU36" s="121"/>
      <c r="AV36" s="121"/>
    </row>
    <row r="37" spans="1:48" ht="14.4" thickTop="1" thickBot="1">
      <c r="A37" s="121"/>
      <c r="B37" s="121"/>
      <c r="C37" s="121"/>
      <c r="D37" s="121"/>
      <c r="E37" s="2"/>
      <c r="F37" s="2"/>
      <c r="G37" s="20"/>
      <c r="H37" s="123"/>
      <c r="I37" s="123"/>
      <c r="J37" s="123"/>
      <c r="K37" s="123"/>
      <c r="L37" s="123"/>
      <c r="M37" s="123"/>
      <c r="N37" s="11"/>
      <c r="R37" s="75"/>
      <c r="S37" s="2"/>
      <c r="T37" s="2"/>
      <c r="U37" s="11"/>
      <c r="V37" s="2"/>
      <c r="W37" s="2"/>
      <c r="X37" s="2"/>
      <c r="Y37" s="2"/>
      <c r="Z37" s="2"/>
      <c r="AA37" s="2"/>
      <c r="AB37" s="144"/>
      <c r="AC37" s="144"/>
      <c r="AD37" s="144"/>
      <c r="AE37" s="144"/>
      <c r="AF37" s="144"/>
      <c r="AG37" s="144"/>
      <c r="AH37" s="122"/>
      <c r="AI37" s="122"/>
      <c r="AJ37" s="122"/>
      <c r="AK37" s="11"/>
      <c r="AL37" s="11"/>
      <c r="AM37" s="11"/>
      <c r="AO37" s="3"/>
      <c r="AP37" s="137"/>
      <c r="AQ37" s="137"/>
      <c r="AR37" s="137"/>
      <c r="AS37" s="121"/>
      <c r="AT37" s="121"/>
      <c r="AU37" s="121"/>
      <c r="AV37" s="121"/>
    </row>
    <row r="38" spans="1:48" ht="14.4" thickTop="1" thickBot="1">
      <c r="A38" s="121"/>
      <c r="B38" s="121"/>
      <c r="C38" s="121"/>
      <c r="D38" s="121"/>
      <c r="E38" s="2"/>
      <c r="F38" s="2"/>
      <c r="G38" s="20"/>
      <c r="H38" s="123"/>
      <c r="I38" s="123"/>
      <c r="J38" s="123"/>
      <c r="K38" s="123"/>
      <c r="L38" s="123"/>
      <c r="M38" s="123"/>
      <c r="N38" s="11"/>
      <c r="R38" s="75"/>
      <c r="S38" s="2"/>
      <c r="T38" s="2"/>
      <c r="U38" s="11"/>
      <c r="V38" s="2"/>
      <c r="W38" s="2"/>
      <c r="X38" s="2"/>
      <c r="Y38" s="2"/>
      <c r="Z38" s="2"/>
      <c r="AA38" s="2"/>
      <c r="AB38" s="144"/>
      <c r="AC38" s="144"/>
      <c r="AD38" s="144"/>
      <c r="AE38" s="144"/>
      <c r="AF38" s="144"/>
      <c r="AG38" s="144"/>
      <c r="AH38" s="122"/>
      <c r="AI38" s="122"/>
      <c r="AJ38" s="122"/>
      <c r="AK38" s="11"/>
      <c r="AL38" s="11"/>
      <c r="AM38" s="11"/>
      <c r="AO38" s="3"/>
      <c r="AP38" s="137"/>
      <c r="AQ38" s="137"/>
      <c r="AR38" s="137"/>
      <c r="AS38" s="121"/>
      <c r="AT38" s="121"/>
      <c r="AU38" s="121"/>
      <c r="AV38" s="121"/>
    </row>
    <row r="39" spans="1:48" ht="15" thickTop="1">
      <c r="E39" s="2"/>
      <c r="F39" s="2"/>
      <c r="G39" s="20"/>
      <c r="H39" s="19"/>
      <c r="I39" s="19"/>
      <c r="J39" s="19"/>
      <c r="K39" s="19"/>
      <c r="L39" s="107"/>
      <c r="M39" s="11"/>
      <c r="N39" s="11"/>
      <c r="R39" s="58"/>
      <c r="S39" s="2"/>
      <c r="T39" s="2"/>
      <c r="U39" s="11"/>
      <c r="V39" s="2"/>
      <c r="W39" s="2"/>
      <c r="X39" s="2"/>
      <c r="Y39" s="2"/>
      <c r="Z39" s="2"/>
      <c r="AA39" s="2"/>
      <c r="AB39" s="134"/>
      <c r="AC39" s="134"/>
      <c r="AD39" s="134"/>
      <c r="AE39" s="134"/>
      <c r="AF39" s="134"/>
      <c r="AG39" s="134"/>
      <c r="AH39" s="138"/>
      <c r="AI39" s="138"/>
      <c r="AJ39" s="138"/>
      <c r="AK39" s="11"/>
      <c r="AL39" s="11"/>
      <c r="AM39" s="11"/>
      <c r="AO39" s="3"/>
      <c r="AP39" s="137"/>
      <c r="AQ39" s="137"/>
      <c r="AR39" s="137"/>
      <c r="AS39" s="121"/>
      <c r="AT39" s="121"/>
      <c r="AU39" s="121"/>
      <c r="AV39" s="121"/>
    </row>
    <row r="40" spans="1:48">
      <c r="E40" s="2"/>
      <c r="G40" s="143"/>
      <c r="H40" s="143"/>
      <c r="I40" s="143"/>
      <c r="J40" s="143"/>
      <c r="K40" s="143"/>
      <c r="N40" s="48" t="s">
        <v>18</v>
      </c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O40" s="3" t="s">
        <v>2</v>
      </c>
      <c r="AP40" s="142">
        <f>SUM(AP33:AR39)</f>
        <v>81658.309404999993</v>
      </c>
      <c r="AQ40" s="142"/>
      <c r="AR40" s="142"/>
      <c r="AS40" s="141" t="s">
        <v>1</v>
      </c>
      <c r="AT40" s="141"/>
      <c r="AU40" s="141"/>
      <c r="AV40" s="141"/>
    </row>
    <row r="41" spans="1:48" ht="8.1" customHeight="1">
      <c r="G41" s="19"/>
      <c r="H41" s="19"/>
      <c r="I41" s="19"/>
      <c r="J41" s="20"/>
      <c r="K41" s="20"/>
      <c r="R41" s="81"/>
      <c r="AN41" s="6"/>
      <c r="AO41" s="6"/>
      <c r="AP41" s="6"/>
      <c r="AQ41" s="6"/>
      <c r="AR41" s="6"/>
      <c r="AS41" s="6"/>
    </row>
    <row r="42" spans="1:48">
      <c r="D42" s="4"/>
      <c r="E42" s="4"/>
      <c r="F42" s="4"/>
      <c r="G42" s="143"/>
      <c r="H42" s="143"/>
      <c r="I42" s="143"/>
      <c r="J42" s="143"/>
      <c r="K42" s="143"/>
      <c r="AP42" s="143"/>
      <c r="AQ42" s="143"/>
      <c r="AR42" s="143"/>
      <c r="AT42" s="3"/>
      <c r="AU42" s="3"/>
    </row>
    <row r="43" spans="1:48" ht="8.1" customHeight="1">
      <c r="G43" s="6"/>
      <c r="H43" s="6"/>
      <c r="I43" s="6"/>
      <c r="J43" s="6"/>
      <c r="K43" s="6"/>
      <c r="AO43" s="6"/>
      <c r="AP43" s="6"/>
      <c r="AQ43" s="6"/>
      <c r="AR43" s="6"/>
      <c r="AS43" s="6"/>
      <c r="AT43" s="6"/>
      <c r="AU43" s="6"/>
    </row>
    <row r="44" spans="1:48">
      <c r="D44" s="4"/>
      <c r="E44" s="4"/>
      <c r="F44" s="4"/>
      <c r="G44" s="3"/>
      <c r="H44" s="139"/>
      <c r="I44" s="139"/>
      <c r="J44" s="139"/>
      <c r="K44" s="139"/>
      <c r="AP44" s="143"/>
      <c r="AQ44" s="143"/>
      <c r="AR44" s="143"/>
      <c r="AT44" s="3"/>
      <c r="AU44" s="3"/>
    </row>
    <row r="45" spans="1:48">
      <c r="D45" s="4"/>
      <c r="E45" s="4"/>
      <c r="F45" s="4"/>
      <c r="G45" s="5"/>
      <c r="H45" s="5"/>
      <c r="I45" s="5"/>
      <c r="J45" s="5"/>
      <c r="K45" s="5"/>
      <c r="AP45" s="5"/>
      <c r="AQ45" s="5"/>
      <c r="AR45" s="5"/>
      <c r="AT45" s="3"/>
      <c r="AU45" s="3"/>
    </row>
    <row r="46" spans="1:48">
      <c r="A46" s="21"/>
    </row>
    <row r="47" spans="1:48">
      <c r="A47" s="9"/>
    </row>
    <row r="48" spans="1:48">
      <c r="A48" s="1" t="s">
        <v>11</v>
      </c>
      <c r="G48" s="9"/>
      <c r="H48" s="9"/>
      <c r="J48" s="1" t="s">
        <v>2</v>
      </c>
      <c r="K48" s="1" t="s">
        <v>64</v>
      </c>
    </row>
    <row r="49" spans="1:48">
      <c r="A49" s="1" t="s">
        <v>12</v>
      </c>
      <c r="G49" s="9"/>
      <c r="H49" s="9"/>
      <c r="J49" s="1" t="s">
        <v>2</v>
      </c>
      <c r="K49" s="49" t="s">
        <v>65</v>
      </c>
      <c r="L49" s="11"/>
      <c r="M49" s="11"/>
      <c r="N49" s="11"/>
      <c r="O49" s="11"/>
      <c r="P49" s="11"/>
      <c r="Q49" s="11"/>
      <c r="R49" s="11"/>
    </row>
    <row r="50" spans="1:48">
      <c r="A50" s="1" t="s">
        <v>13</v>
      </c>
      <c r="G50" s="9"/>
      <c r="H50" s="9"/>
      <c r="J50" s="1" t="s">
        <v>2</v>
      </c>
      <c r="K50" s="11" t="s">
        <v>14</v>
      </c>
      <c r="L50" s="11"/>
      <c r="M50" s="11"/>
      <c r="N50" s="11"/>
      <c r="O50" s="11"/>
      <c r="P50" s="11"/>
      <c r="Q50" s="11"/>
      <c r="R50" s="11"/>
    </row>
    <row r="51" spans="1:48">
      <c r="A51" s="13" t="s">
        <v>15</v>
      </c>
      <c r="B51" s="13"/>
      <c r="C51" s="13"/>
      <c r="D51" s="13"/>
      <c r="E51" s="13"/>
      <c r="F51" s="13"/>
      <c r="G51" s="13"/>
      <c r="H51" s="13"/>
      <c r="I51" s="13"/>
      <c r="J51" s="13" t="s">
        <v>2</v>
      </c>
      <c r="K51" s="11" t="s">
        <v>76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</row>
    <row r="52" spans="1:48">
      <c r="A52" s="13" t="s">
        <v>16</v>
      </c>
      <c r="B52" s="13"/>
      <c r="C52" s="13"/>
      <c r="D52" s="13"/>
      <c r="E52" s="13"/>
      <c r="F52" s="13"/>
      <c r="G52" s="13"/>
      <c r="H52" s="13"/>
      <c r="I52" s="13"/>
      <c r="J52" s="13" t="s">
        <v>2</v>
      </c>
      <c r="K52" s="13" t="s">
        <v>73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</row>
  </sheetData>
  <mergeCells count="60">
    <mergeCell ref="AP38:AR38"/>
    <mergeCell ref="AS36:AV36"/>
    <mergeCell ref="AB36:AG36"/>
    <mergeCell ref="AH36:AJ36"/>
    <mergeCell ref="AP36:AR36"/>
    <mergeCell ref="AS37:AV37"/>
    <mergeCell ref="AS38:AV38"/>
    <mergeCell ref="A37:D37"/>
    <mergeCell ref="A38:D38"/>
    <mergeCell ref="AH37:AJ37"/>
    <mergeCell ref="AH38:AJ38"/>
    <mergeCell ref="AB37:AG37"/>
    <mergeCell ref="H37:M37"/>
    <mergeCell ref="H38:M38"/>
    <mergeCell ref="AB38:AG38"/>
    <mergeCell ref="H44:K44"/>
    <mergeCell ref="R40:AA40"/>
    <mergeCell ref="AS40:AV40"/>
    <mergeCell ref="AP40:AR40"/>
    <mergeCell ref="AP42:AR42"/>
    <mergeCell ref="AP44:AR44"/>
    <mergeCell ref="G40:K40"/>
    <mergeCell ref="G42:K42"/>
    <mergeCell ref="AB39:AG39"/>
    <mergeCell ref="AP32:AU32"/>
    <mergeCell ref="AP33:AR33"/>
    <mergeCell ref="AS33:AV33"/>
    <mergeCell ref="H33:M33"/>
    <mergeCell ref="H35:M35"/>
    <mergeCell ref="H36:M36"/>
    <mergeCell ref="AP34:AR34"/>
    <mergeCell ref="AS34:AU34"/>
    <mergeCell ref="AP35:AR35"/>
    <mergeCell ref="AS35:AV35"/>
    <mergeCell ref="AH35:AJ35"/>
    <mergeCell ref="AS39:AV39"/>
    <mergeCell ref="AH39:AJ39"/>
    <mergeCell ref="AP39:AR39"/>
    <mergeCell ref="AP37:AR37"/>
    <mergeCell ref="A10:U10"/>
    <mergeCell ref="E11:J11"/>
    <mergeCell ref="A32:D32"/>
    <mergeCell ref="H32:N32"/>
    <mergeCell ref="R31:AR31"/>
    <mergeCell ref="AB32:AJ32"/>
    <mergeCell ref="R32:X32"/>
    <mergeCell ref="A12:L12"/>
    <mergeCell ref="A24:R24"/>
    <mergeCell ref="A27:D27"/>
    <mergeCell ref="E27:L27"/>
    <mergeCell ref="A33:D33"/>
    <mergeCell ref="A35:D35"/>
    <mergeCell ref="AH33:AJ33"/>
    <mergeCell ref="A36:D36"/>
    <mergeCell ref="AH34:AJ34"/>
    <mergeCell ref="A34:D34"/>
    <mergeCell ref="H34:M34"/>
    <mergeCell ref="AA33:AG33"/>
    <mergeCell ref="AA34:AG34"/>
    <mergeCell ref="AA35:AG35"/>
  </mergeCells>
  <phoneticPr fontId="1" type="noConversion"/>
  <printOptions horizontalCentered="1"/>
  <pageMargins left="0.7" right="0.7" top="0.75" bottom="0.75" header="0.3" footer="0.3"/>
  <pageSetup paperSize="9" scale="65" orientation="portrait" r:id="rId1"/>
  <headerFooter alignWithMargins="0"/>
  <rowBreaks count="1" manualBreakCount="1">
    <brk id="32" max="47" man="1"/>
  </rowBreaks>
  <colBreaks count="1" manualBreakCount="1">
    <brk id="27" max="4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M38"/>
  <sheetViews>
    <sheetView topLeftCell="A15" zoomScaleNormal="100" workbookViewId="0">
      <selection activeCell="B34" sqref="B34"/>
    </sheetView>
  </sheetViews>
  <sheetFormatPr defaultRowHeight="13.2"/>
  <cols>
    <col min="1" max="1" width="41.109375" customWidth="1"/>
    <col min="2" max="2" width="35.44140625" customWidth="1"/>
    <col min="3" max="3" width="12.44140625" customWidth="1"/>
    <col min="4" max="4" width="7.44140625" customWidth="1"/>
    <col min="5" max="5" width="10.5546875" customWidth="1"/>
    <col min="6" max="6" width="13.44140625" customWidth="1"/>
    <col min="7" max="7" width="13" customWidth="1"/>
    <col min="8" max="8" width="10.6640625" customWidth="1"/>
    <col min="9" max="9" width="12.44140625" customWidth="1"/>
    <col min="10" max="10" width="10.5546875" style="82" customWidth="1"/>
  </cols>
  <sheetData>
    <row r="5" spans="1:8" ht="19.8">
      <c r="A5" s="146" t="s">
        <v>20</v>
      </c>
      <c r="B5" s="146"/>
      <c r="C5" s="146"/>
      <c r="D5" s="146"/>
      <c r="E5" s="146"/>
      <c r="F5" s="146"/>
      <c r="G5" s="146"/>
      <c r="H5" s="146"/>
    </row>
    <row r="7" spans="1:8">
      <c r="H7" s="100">
        <f>+INVOICE!E11</f>
        <v>45855</v>
      </c>
    </row>
    <row r="8" spans="1:8" ht="14.4">
      <c r="A8" s="59" t="s">
        <v>21</v>
      </c>
    </row>
    <row r="9" spans="1:8" ht="15.6">
      <c r="A9" s="106" t="s">
        <v>76</v>
      </c>
    </row>
    <row r="10" spans="1:8">
      <c r="A10" s="1" t="s">
        <v>77</v>
      </c>
      <c r="B10" s="23"/>
      <c r="C10" s="23"/>
      <c r="D10" s="23"/>
      <c r="E10" s="23"/>
    </row>
    <row r="11" spans="1:8">
      <c r="A11" s="1"/>
    </row>
    <row r="12" spans="1:8">
      <c r="A12" s="1"/>
    </row>
    <row r="13" spans="1:8" ht="14.4">
      <c r="A13" s="22" t="s">
        <v>22</v>
      </c>
    </row>
    <row r="14" spans="1:8">
      <c r="A14" s="101" t="s">
        <v>69</v>
      </c>
    </row>
    <row r="15" spans="1:8">
      <c r="A15" s="102" t="s">
        <v>70</v>
      </c>
      <c r="B15" s="23"/>
    </row>
    <row r="16" spans="1:8">
      <c r="A16" s="17" t="s">
        <v>71</v>
      </c>
    </row>
    <row r="17" spans="1:13" ht="13.8">
      <c r="A17" s="99"/>
      <c r="B17" s="53"/>
      <c r="C17" s="53"/>
    </row>
    <row r="18" spans="1:13" ht="14.4">
      <c r="A18" s="50" t="s">
        <v>41</v>
      </c>
      <c r="B18" s="116">
        <f>E32</f>
        <v>19213.72</v>
      </c>
      <c r="C18" s="47"/>
    </row>
    <row r="19" spans="1:13" ht="14.4">
      <c r="A19" s="50" t="s">
        <v>42</v>
      </c>
      <c r="B19" s="117">
        <f>J32*15</f>
        <v>465</v>
      </c>
      <c r="C19" s="47"/>
    </row>
    <row r="20" spans="1:13" ht="14.4">
      <c r="A20" s="50" t="s">
        <v>23</v>
      </c>
      <c r="B20" s="117">
        <f>D32</f>
        <v>745</v>
      </c>
      <c r="C20" s="47"/>
    </row>
    <row r="21" spans="1:13" ht="14.4">
      <c r="A21" s="50" t="s">
        <v>43</v>
      </c>
      <c r="B21" s="116">
        <f>F32</f>
        <v>20528.07</v>
      </c>
      <c r="C21" s="47"/>
    </row>
    <row r="22" spans="1:13" ht="14.4">
      <c r="A22" s="50" t="s">
        <v>49</v>
      </c>
      <c r="B22" s="117">
        <f>+J32</f>
        <v>31</v>
      </c>
      <c r="C22" s="47"/>
    </row>
    <row r="23" spans="1:13" ht="14.4">
      <c r="A23" s="50" t="s">
        <v>34</v>
      </c>
      <c r="B23" s="120" t="str">
        <f>INVOICE!E27</f>
        <v>61 ZZ 530 /61 AFY 786</v>
      </c>
      <c r="C23" s="47"/>
    </row>
    <row r="24" spans="1:13" ht="14.4">
      <c r="A24" s="50" t="s">
        <v>50</v>
      </c>
      <c r="B24" s="54" t="s">
        <v>73</v>
      </c>
      <c r="C24" s="47"/>
    </row>
    <row r="25" spans="1:13" ht="15" customHeight="1">
      <c r="A25" s="55" t="s">
        <v>51</v>
      </c>
      <c r="B25" s="56" t="s">
        <v>5</v>
      </c>
      <c r="C25" s="47"/>
    </row>
    <row r="26" spans="1:13" ht="19.5" customHeight="1">
      <c r="A26" s="53"/>
      <c r="B26" s="53"/>
      <c r="C26" s="53"/>
    </row>
    <row r="27" spans="1:13" ht="72">
      <c r="A27" s="25" t="s">
        <v>24</v>
      </c>
      <c r="B27" s="26"/>
      <c r="C27" s="27" t="s">
        <v>25</v>
      </c>
      <c r="D27" s="28" t="s">
        <v>26</v>
      </c>
      <c r="E27" s="29" t="s">
        <v>44</v>
      </c>
      <c r="F27" s="29" t="s">
        <v>45</v>
      </c>
      <c r="G27" s="29" t="s">
        <v>27</v>
      </c>
      <c r="H27" s="29" t="s">
        <v>46</v>
      </c>
      <c r="I27" s="30" t="s">
        <v>47</v>
      </c>
      <c r="J27" s="30" t="s">
        <v>28</v>
      </c>
    </row>
    <row r="28" spans="1:13" ht="14.4">
      <c r="A28" s="149" t="s">
        <v>91</v>
      </c>
      <c r="B28" s="150"/>
      <c r="C28" s="32" t="s">
        <v>29</v>
      </c>
      <c r="D28" s="86">
        <f>+INVOICE!R33</f>
        <v>745</v>
      </c>
      <c r="E28" s="33">
        <f>+INVOICE!H33</f>
        <v>19213.72</v>
      </c>
      <c r="F28" s="118">
        <f>H28+(D28*1.3)</f>
        <v>20528.07</v>
      </c>
      <c r="G28" s="51">
        <v>45819</v>
      </c>
      <c r="H28" s="119">
        <f>ROUND(E28+(E28*0.018),2)</f>
        <v>19559.57</v>
      </c>
      <c r="I28" s="119">
        <f>F28+15*J28</f>
        <v>20993.07</v>
      </c>
      <c r="J28" s="85">
        <v>31</v>
      </c>
      <c r="K28" s="145"/>
    </row>
    <row r="29" spans="1:13" ht="14.4">
      <c r="A29" s="149"/>
      <c r="B29" s="150"/>
      <c r="C29" s="32"/>
      <c r="D29" s="86"/>
      <c r="E29" s="33"/>
      <c r="F29" s="33"/>
      <c r="G29" s="51"/>
      <c r="H29" s="34"/>
      <c r="I29" s="34"/>
      <c r="J29" s="85"/>
      <c r="K29" s="145"/>
    </row>
    <row r="30" spans="1:13" ht="14.4">
      <c r="A30" s="147"/>
      <c r="B30" s="148"/>
      <c r="C30" s="89"/>
      <c r="D30" s="90"/>
      <c r="E30" s="91"/>
      <c r="F30" s="91"/>
      <c r="G30" s="92"/>
      <c r="H30" s="93"/>
      <c r="I30" s="93"/>
      <c r="J30" s="93"/>
      <c r="K30" s="145"/>
    </row>
    <row r="31" spans="1:13" ht="14.4">
      <c r="A31" s="151"/>
      <c r="B31" s="152"/>
      <c r="C31" s="94"/>
      <c r="D31" s="95"/>
      <c r="E31" s="96"/>
      <c r="F31" s="96"/>
      <c r="G31" s="97"/>
      <c r="H31" s="98"/>
      <c r="I31" s="98"/>
      <c r="J31" s="98"/>
      <c r="K31" s="84"/>
    </row>
    <row r="32" spans="1:13" ht="14.4">
      <c r="A32" s="35" t="s">
        <v>30</v>
      </c>
      <c r="B32" s="36"/>
      <c r="C32" s="36"/>
      <c r="D32" s="78">
        <f>SUM(D28:D31)</f>
        <v>745</v>
      </c>
      <c r="E32" s="87">
        <f>SUM(E28:E31)</f>
        <v>19213.72</v>
      </c>
      <c r="F32" s="87">
        <f>SUM(F28:F31)</f>
        <v>20528.07</v>
      </c>
      <c r="G32" s="88"/>
      <c r="H32" s="87">
        <f>SUM(H28:H31)</f>
        <v>19559.57</v>
      </c>
      <c r="I32" s="87">
        <f>SUM(I28:I31)</f>
        <v>20993.07</v>
      </c>
      <c r="J32" s="83">
        <f>SUM(J28:J31)</f>
        <v>31</v>
      </c>
      <c r="L32" s="80"/>
      <c r="M32" s="80"/>
    </row>
    <row r="33" spans="5:9" ht="14.4">
      <c r="F33" s="23"/>
      <c r="G33" s="37" t="s">
        <v>31</v>
      </c>
      <c r="H33" s="23"/>
      <c r="I33" s="60"/>
    </row>
    <row r="34" spans="5:9" ht="14.4">
      <c r="E34" s="77"/>
      <c r="F34" s="38"/>
      <c r="G34" t="s">
        <v>78</v>
      </c>
      <c r="H34" s="38"/>
      <c r="I34" s="38"/>
    </row>
    <row r="35" spans="5:9">
      <c r="G35" s="38"/>
      <c r="H35" s="38"/>
    </row>
    <row r="36" spans="5:9">
      <c r="G36" s="38"/>
    </row>
    <row r="37" spans="5:9">
      <c r="G37" s="39"/>
    </row>
    <row r="38" spans="5:9">
      <c r="G38" s="38"/>
    </row>
  </sheetData>
  <mergeCells count="6">
    <mergeCell ref="K28:K30"/>
    <mergeCell ref="A5:H5"/>
    <mergeCell ref="A30:B30"/>
    <mergeCell ref="A28:B28"/>
    <mergeCell ref="A31:B31"/>
    <mergeCell ref="A29:B29"/>
  </mergeCells>
  <phoneticPr fontId="1" type="noConversion"/>
  <pageMargins left="0.7" right="0.7" top="0.75" bottom="0.75" header="0.3" footer="0.3"/>
  <pageSetup paperSize="9" scale="6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8:G35"/>
  <sheetViews>
    <sheetView topLeftCell="A7" zoomScale="85" zoomScaleNormal="85" workbookViewId="0">
      <selection activeCell="C26" sqref="C26"/>
    </sheetView>
  </sheetViews>
  <sheetFormatPr defaultRowHeight="13.2"/>
  <cols>
    <col min="1" max="1" width="71.33203125" customWidth="1"/>
    <col min="2" max="2" width="14.109375" customWidth="1"/>
    <col min="3" max="3" width="13" customWidth="1"/>
    <col min="4" max="4" width="13.109375" customWidth="1"/>
    <col min="5" max="5" width="14.5546875" customWidth="1"/>
    <col min="6" max="6" width="12.6640625" customWidth="1"/>
    <col min="7" max="7" width="14.44140625" customWidth="1"/>
  </cols>
  <sheetData>
    <row r="8" spans="1:7" ht="19.8">
      <c r="A8" s="153" t="s">
        <v>32</v>
      </c>
      <c r="B8" s="153"/>
      <c r="C8" s="153"/>
      <c r="D8" s="153"/>
      <c r="E8" s="153"/>
      <c r="F8" s="153"/>
      <c r="G8" s="24"/>
    </row>
    <row r="9" spans="1:7" ht="14.4">
      <c r="A9" s="41"/>
      <c r="B9" s="41"/>
      <c r="C9" s="41"/>
      <c r="D9" s="41"/>
      <c r="E9" s="101" t="s">
        <v>69</v>
      </c>
      <c r="F9" s="24"/>
      <c r="G9" s="24"/>
    </row>
    <row r="10" spans="1:7" ht="14.4">
      <c r="A10" s="41"/>
      <c r="B10" s="41"/>
      <c r="C10" s="41"/>
      <c r="D10" s="41"/>
      <c r="E10" s="102" t="s">
        <v>70</v>
      </c>
      <c r="F10" s="24"/>
      <c r="G10" s="24"/>
    </row>
    <row r="11" spans="1:7" ht="14.4">
      <c r="A11" s="41"/>
      <c r="B11" s="41"/>
      <c r="C11" s="41"/>
      <c r="D11" s="41"/>
      <c r="E11" s="17" t="s">
        <v>71</v>
      </c>
      <c r="F11" s="24"/>
      <c r="G11" s="24"/>
    </row>
    <row r="12" spans="1:7" ht="14.4">
      <c r="A12" s="41"/>
      <c r="B12" s="41"/>
      <c r="C12" s="41"/>
      <c r="D12" s="41"/>
      <c r="E12" s="99"/>
      <c r="F12" s="24"/>
      <c r="G12" s="24"/>
    </row>
    <row r="13" spans="1:7" ht="14.4">
      <c r="A13" s="24"/>
      <c r="B13" s="24"/>
      <c r="C13" s="24"/>
      <c r="D13" s="24"/>
      <c r="E13" s="99"/>
      <c r="F13" s="24"/>
      <c r="G13" s="24"/>
    </row>
    <row r="14" spans="1:7" ht="14.4">
      <c r="A14" s="24"/>
      <c r="B14" s="24"/>
      <c r="C14" s="24"/>
      <c r="D14" s="24"/>
      <c r="E14" s="42"/>
      <c r="F14" s="24"/>
      <c r="G14" s="24"/>
    </row>
    <row r="15" spans="1:7" ht="14.4">
      <c r="A15" s="24"/>
      <c r="B15" s="24"/>
      <c r="C15" s="24"/>
      <c r="D15" s="24"/>
      <c r="E15" s="24"/>
      <c r="F15" s="42"/>
      <c r="G15" s="24"/>
    </row>
    <row r="16" spans="1:7" ht="14.4">
      <c r="A16" s="47" t="s">
        <v>33</v>
      </c>
      <c r="B16" s="43">
        <f>+INVOICE!E11</f>
        <v>45855</v>
      </c>
      <c r="C16" s="24"/>
      <c r="D16" s="24"/>
      <c r="E16" s="24"/>
      <c r="F16" s="24"/>
      <c r="G16" s="24"/>
    </row>
    <row r="17" spans="1:7" ht="14.4">
      <c r="A17" s="24" t="s">
        <v>34</v>
      </c>
      <c r="B17" s="103" t="str">
        <f>+PAC.LIST!B23</f>
        <v>61 ZZ 530 /61 AFY 786</v>
      </c>
      <c r="C17" s="24"/>
      <c r="D17" s="24"/>
      <c r="E17" s="24"/>
      <c r="F17" s="24"/>
      <c r="G17" s="24"/>
    </row>
    <row r="18" spans="1:7" ht="14.4">
      <c r="A18" s="24" t="s">
        <v>6</v>
      </c>
      <c r="B18" s="24" t="s">
        <v>5</v>
      </c>
      <c r="C18" s="24"/>
      <c r="D18" s="24"/>
      <c r="E18" s="24"/>
      <c r="F18" s="24"/>
      <c r="G18" s="24"/>
    </row>
    <row r="19" spans="1:7" ht="14.4">
      <c r="A19" s="24" t="s">
        <v>35</v>
      </c>
      <c r="B19" s="24" t="s">
        <v>73</v>
      </c>
      <c r="C19" s="24"/>
      <c r="D19" s="24"/>
      <c r="E19" s="24"/>
      <c r="F19" s="24"/>
      <c r="G19" s="24"/>
    </row>
    <row r="20" spans="1:7" ht="14.4">
      <c r="A20" s="42" t="s">
        <v>36</v>
      </c>
      <c r="B20" s="24" t="s">
        <v>53</v>
      </c>
      <c r="C20" s="24"/>
      <c r="D20" s="24"/>
      <c r="E20" s="24"/>
      <c r="F20" s="24"/>
      <c r="G20" s="24"/>
    </row>
    <row r="21" spans="1:7" ht="14.4">
      <c r="A21" s="42" t="s">
        <v>37</v>
      </c>
      <c r="B21" s="24" t="s">
        <v>80</v>
      </c>
      <c r="C21" s="24"/>
      <c r="D21" s="24"/>
      <c r="E21" s="24"/>
      <c r="F21" s="24"/>
      <c r="G21" s="24"/>
    </row>
    <row r="22" spans="1:7" ht="14.4">
      <c r="A22" s="42"/>
      <c r="B22" s="24"/>
      <c r="C22" s="24"/>
      <c r="D22" s="24"/>
      <c r="E22" s="24"/>
      <c r="F22" s="24"/>
      <c r="G22" s="24"/>
    </row>
    <row r="23" spans="1:7" ht="14.4">
      <c r="A23" s="42"/>
      <c r="B23" s="24"/>
      <c r="C23" s="24"/>
      <c r="D23" s="24"/>
      <c r="E23" s="24"/>
      <c r="F23" s="24"/>
      <c r="G23" s="24"/>
    </row>
    <row r="24" spans="1:7" ht="14.4">
      <c r="A24" s="42"/>
      <c r="B24" s="24"/>
      <c r="C24" s="24"/>
      <c r="D24" s="24"/>
      <c r="E24" s="24"/>
      <c r="F24" s="24"/>
      <c r="G24" s="24"/>
    </row>
    <row r="25" spans="1:7" ht="43.2">
      <c r="A25" s="25" t="s">
        <v>24</v>
      </c>
      <c r="B25" s="29" t="s">
        <v>26</v>
      </c>
      <c r="C25" s="29" t="s">
        <v>48</v>
      </c>
      <c r="D25" s="30" t="s">
        <v>52</v>
      </c>
      <c r="E25" s="44" t="s">
        <v>27</v>
      </c>
      <c r="F25" s="44" t="s">
        <v>38</v>
      </c>
      <c r="G25" s="45"/>
    </row>
    <row r="26" spans="1:7" ht="14.4">
      <c r="A26" s="73" t="s">
        <v>92</v>
      </c>
      <c r="B26" s="108">
        <f>+PAC.LIST!D28</f>
        <v>745</v>
      </c>
      <c r="C26" s="33">
        <f>+PAC.LIST!E28</f>
        <v>19213.72</v>
      </c>
      <c r="D26" s="33">
        <f>+PAC.LIST!I28</f>
        <v>20993.07</v>
      </c>
      <c r="E26" s="51">
        <f>+PAC.LIST!G28</f>
        <v>45819</v>
      </c>
      <c r="F26" s="40" t="s">
        <v>78</v>
      </c>
      <c r="G26" s="45"/>
    </row>
    <row r="27" spans="1:7" ht="14.4">
      <c r="A27" s="73"/>
      <c r="B27" s="31"/>
      <c r="C27" s="33"/>
      <c r="D27" s="34"/>
      <c r="E27" s="51"/>
      <c r="F27" s="40"/>
      <c r="G27" s="45"/>
    </row>
    <row r="28" spans="1:7" ht="14.4">
      <c r="A28" s="73"/>
      <c r="B28" s="31"/>
      <c r="C28" s="33"/>
      <c r="D28" s="33"/>
      <c r="E28" s="51"/>
      <c r="F28" s="40"/>
      <c r="G28" s="45"/>
    </row>
    <row r="29" spans="1:7" ht="14.4">
      <c r="A29" s="73"/>
      <c r="B29" s="31"/>
      <c r="C29" s="33"/>
      <c r="D29" s="33"/>
      <c r="E29" s="51"/>
      <c r="F29" s="40"/>
      <c r="G29" s="45"/>
    </row>
    <row r="30" spans="1:7" ht="14.4">
      <c r="A30" s="74"/>
      <c r="B30" s="72"/>
      <c r="C30" s="33"/>
      <c r="D30" s="33"/>
      <c r="E30" s="51"/>
      <c r="F30" s="40"/>
      <c r="G30" s="45"/>
    </row>
    <row r="31" spans="1:7" ht="14.4">
      <c r="A31" s="46" t="s">
        <v>30</v>
      </c>
      <c r="B31" s="78">
        <f>SUM(B26:B30)</f>
        <v>745</v>
      </c>
      <c r="C31" s="87">
        <f>SUM(C26:C30)</f>
        <v>19213.72</v>
      </c>
      <c r="D31" s="87">
        <f>SUM(D26:D30)</f>
        <v>20993.07</v>
      </c>
      <c r="E31" s="40"/>
      <c r="F31" s="40"/>
      <c r="G31" s="24"/>
    </row>
    <row r="32" spans="1:7" ht="14.4">
      <c r="A32" s="24"/>
      <c r="B32" s="24"/>
      <c r="C32" s="24"/>
      <c r="D32" s="24"/>
      <c r="E32" s="24"/>
      <c r="F32" s="24"/>
      <c r="G32" s="24"/>
    </row>
    <row r="33" spans="1:7" ht="14.4">
      <c r="A33" s="24" t="s">
        <v>39</v>
      </c>
      <c r="B33" s="24"/>
      <c r="C33" s="24"/>
      <c r="D33" s="24"/>
      <c r="E33" s="24"/>
      <c r="F33" s="24"/>
      <c r="G33" s="24"/>
    </row>
    <row r="34" spans="1:7" ht="14.4">
      <c r="A34" s="24" t="s">
        <v>40</v>
      </c>
      <c r="B34" s="24"/>
      <c r="C34" s="24"/>
      <c r="D34" s="77"/>
      <c r="E34" s="24"/>
      <c r="F34" s="24"/>
      <c r="G34" s="24"/>
    </row>
    <row r="35" spans="1:7" ht="14.4">
      <c r="A35" s="24"/>
      <c r="B35" s="24"/>
      <c r="C35" s="24"/>
      <c r="D35" s="24"/>
      <c r="E35" s="24"/>
      <c r="F35" s="24"/>
      <c r="G35" s="24"/>
    </row>
  </sheetData>
  <mergeCells count="1">
    <mergeCell ref="A8:F8"/>
  </mergeCells>
  <phoneticPr fontId="1" type="noConversion"/>
  <pageMargins left="0.7" right="0.7" top="0.75" bottom="0.75" header="0.3" footer="0.3"/>
  <pageSetup paperSize="9" scale="63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6:O28"/>
  <sheetViews>
    <sheetView tabSelected="1" zoomScale="85" zoomScaleNormal="85" workbookViewId="0">
      <selection activeCell="L17" sqref="L17"/>
    </sheetView>
  </sheetViews>
  <sheetFormatPr defaultRowHeight="13.2"/>
  <cols>
    <col min="2" max="2" width="19" customWidth="1"/>
    <col min="5" max="5" width="23.33203125" customWidth="1"/>
    <col min="6" max="6" width="19.33203125" customWidth="1"/>
    <col min="7" max="7" width="8.6640625" customWidth="1"/>
    <col min="12" max="12" width="14.6640625" customWidth="1"/>
  </cols>
  <sheetData>
    <row r="6" spans="2:12" ht="13.8" thickBot="1"/>
    <row r="7" spans="2:12" ht="30" customHeight="1">
      <c r="B7" s="165" t="s">
        <v>54</v>
      </c>
      <c r="C7" s="166"/>
      <c r="D7" s="166"/>
      <c r="E7" s="166"/>
      <c r="F7" s="166"/>
      <c r="G7" s="166"/>
      <c r="H7" s="166"/>
      <c r="I7" s="166"/>
      <c r="J7" s="166"/>
      <c r="K7" s="166"/>
      <c r="L7" s="167"/>
    </row>
    <row r="8" spans="2:12" ht="15" thickBot="1">
      <c r="B8" s="61"/>
      <c r="C8" s="62"/>
      <c r="D8" s="62"/>
      <c r="E8" s="176" t="s">
        <v>55</v>
      </c>
      <c r="F8" s="176"/>
      <c r="G8" s="176"/>
      <c r="H8" s="62"/>
      <c r="I8" s="62"/>
      <c r="J8" s="63"/>
      <c r="K8" s="63"/>
      <c r="L8" s="64"/>
    </row>
    <row r="9" spans="2:12" ht="15" thickBot="1">
      <c r="B9" s="65" t="s">
        <v>56</v>
      </c>
      <c r="C9" s="177">
        <v>45855</v>
      </c>
      <c r="D9" s="178"/>
      <c r="E9" s="65" t="s">
        <v>57</v>
      </c>
      <c r="F9" s="114">
        <v>45899</v>
      </c>
      <c r="G9" s="168"/>
      <c r="H9" s="168"/>
      <c r="I9" s="168"/>
      <c r="J9" s="66"/>
      <c r="K9" s="66"/>
      <c r="L9" s="67"/>
    </row>
    <row r="10" spans="2:12" ht="14.4">
      <c r="B10" s="65"/>
      <c r="C10" s="169"/>
      <c r="D10" s="169"/>
      <c r="E10" s="169"/>
      <c r="F10" s="170"/>
      <c r="G10" s="68"/>
      <c r="H10" s="171"/>
      <c r="I10" s="171"/>
      <c r="J10" s="171"/>
      <c r="K10" s="171"/>
      <c r="L10" s="172"/>
    </row>
    <row r="11" spans="2:12" ht="15" thickBot="1">
      <c r="B11" s="69"/>
      <c r="C11" s="62"/>
      <c r="D11" s="62"/>
      <c r="E11" s="62"/>
      <c r="F11" s="70"/>
      <c r="G11" s="62"/>
      <c r="H11" s="173"/>
      <c r="I11" s="173"/>
      <c r="J11" s="173"/>
      <c r="K11" s="173"/>
      <c r="L11" s="174"/>
    </row>
    <row r="12" spans="2:12" ht="14.4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2:12" ht="14.4">
      <c r="B13" s="47" t="s">
        <v>82</v>
      </c>
      <c r="C13" s="47"/>
      <c r="D13" s="47"/>
      <c r="E13" s="24"/>
      <c r="F13" s="24"/>
      <c r="G13" s="24"/>
      <c r="H13" s="24"/>
      <c r="I13" s="24"/>
      <c r="J13" s="24"/>
      <c r="K13" s="24"/>
      <c r="L13" s="24"/>
    </row>
    <row r="14" spans="2:12" ht="14.4">
      <c r="B14" s="24" t="s">
        <v>60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2:12" ht="15.6">
      <c r="B15" s="24" t="s">
        <v>74</v>
      </c>
      <c r="C15" s="24"/>
      <c r="D15" s="24"/>
      <c r="E15" s="24"/>
      <c r="F15" s="24"/>
      <c r="G15" s="24"/>
      <c r="H15" s="24"/>
      <c r="I15" s="24"/>
      <c r="J15" s="24"/>
      <c r="K15" s="24"/>
      <c r="L15" s="105"/>
    </row>
    <row r="16" spans="2:12" ht="14.4">
      <c r="B16" s="24" t="s">
        <v>75</v>
      </c>
      <c r="C16" s="175" t="s">
        <v>76</v>
      </c>
      <c r="D16" s="175"/>
      <c r="E16" s="175"/>
      <c r="F16" s="175"/>
      <c r="G16" s="175"/>
      <c r="H16" s="175"/>
      <c r="I16" s="175"/>
      <c r="J16" s="175"/>
      <c r="K16" s="175"/>
      <c r="L16" s="175"/>
    </row>
    <row r="17" spans="2:15" ht="16.2" thickBot="1">
      <c r="B17" s="24"/>
      <c r="C17" s="71"/>
      <c r="D17" s="71"/>
      <c r="E17" s="71"/>
      <c r="F17" s="71"/>
      <c r="G17" s="71"/>
      <c r="H17" s="71"/>
      <c r="I17" s="71"/>
      <c r="J17" s="71"/>
      <c r="K17" s="71"/>
      <c r="L17" s="71"/>
      <c r="N17" s="105"/>
    </row>
    <row r="18" spans="2:15" ht="15" thickBot="1">
      <c r="B18" s="24"/>
      <c r="C18" s="180" t="s">
        <v>58</v>
      </c>
      <c r="D18" s="181"/>
      <c r="E18" s="182"/>
      <c r="F18" s="183" t="s">
        <v>59</v>
      </c>
      <c r="G18" s="184"/>
      <c r="H18" s="24"/>
      <c r="I18" s="24"/>
      <c r="J18" s="24"/>
      <c r="K18" s="24"/>
      <c r="L18" s="24"/>
    </row>
    <row r="19" spans="2:15" ht="15" thickBot="1">
      <c r="B19" s="76"/>
      <c r="C19" s="185" t="s">
        <v>7</v>
      </c>
      <c r="D19" s="186"/>
      <c r="E19" s="187"/>
      <c r="F19" s="154" t="s">
        <v>86</v>
      </c>
      <c r="G19" s="155"/>
      <c r="H19" s="24"/>
      <c r="I19" s="24"/>
      <c r="J19" s="24"/>
      <c r="K19" s="24"/>
      <c r="L19" s="24"/>
    </row>
    <row r="20" spans="2:15" ht="30" customHeight="1" thickBot="1">
      <c r="B20" s="79">
        <v>1</v>
      </c>
      <c r="C20" s="156" t="s">
        <v>93</v>
      </c>
      <c r="D20" s="157"/>
      <c r="E20" s="157"/>
      <c r="F20" s="158">
        <f>INVOICE!AA33</f>
        <v>109.608469</v>
      </c>
      <c r="G20" s="159"/>
      <c r="H20" s="24"/>
      <c r="I20" s="179"/>
      <c r="J20" s="179"/>
      <c r="K20" s="179"/>
      <c r="L20" s="179"/>
      <c r="M20" s="179"/>
      <c r="N20" s="179"/>
      <c r="O20" s="179"/>
    </row>
    <row r="21" spans="2:15" ht="28.95" customHeight="1" thickBot="1">
      <c r="B21" s="79"/>
      <c r="C21" s="156"/>
      <c r="D21" s="157"/>
      <c r="E21" s="157"/>
      <c r="F21" s="158"/>
      <c r="G21" s="159"/>
      <c r="H21" s="24"/>
      <c r="I21" s="24"/>
      <c r="J21" s="24"/>
      <c r="K21" s="24"/>
      <c r="L21" s="24"/>
    </row>
    <row r="22" spans="2:15" ht="32.4" customHeight="1" thickBot="1">
      <c r="B22" s="79"/>
      <c r="C22" s="156"/>
      <c r="D22" s="157"/>
      <c r="E22" s="160"/>
      <c r="F22" s="161"/>
      <c r="G22" s="162"/>
      <c r="H22" s="24"/>
      <c r="I22" s="24"/>
      <c r="J22" s="24"/>
      <c r="K22" s="24"/>
      <c r="L22" s="24"/>
    </row>
    <row r="23" spans="2:15" ht="13.5" customHeight="1">
      <c r="B23" s="163"/>
      <c r="C23" s="130"/>
      <c r="D23" s="130"/>
      <c r="E23" s="130"/>
      <c r="F23" s="164"/>
      <c r="G23" s="164"/>
    </row>
    <row r="24" spans="2:15" ht="13.5" customHeight="1">
      <c r="B24" s="163"/>
      <c r="C24" s="130"/>
      <c r="D24" s="130"/>
      <c r="E24" s="130"/>
      <c r="F24" s="164"/>
      <c r="G24" s="164"/>
    </row>
    <row r="25" spans="2:15" ht="13.5" customHeight="1">
      <c r="B25" s="163"/>
      <c r="C25" s="130"/>
      <c r="D25" s="130"/>
      <c r="E25" s="130"/>
      <c r="F25" s="164"/>
      <c r="G25" s="164"/>
    </row>
    <row r="26" spans="2:15" ht="13.5" customHeight="1">
      <c r="B26" s="163"/>
      <c r="C26" s="130"/>
      <c r="D26" s="130"/>
      <c r="E26" s="130"/>
      <c r="F26" s="164"/>
      <c r="G26" s="164"/>
    </row>
    <row r="27" spans="2:15" ht="13.5" customHeight="1">
      <c r="B27" s="163"/>
      <c r="C27" s="130"/>
      <c r="D27" s="130"/>
      <c r="E27" s="130"/>
      <c r="F27" s="164"/>
      <c r="G27" s="164"/>
    </row>
    <row r="28" spans="2:15" ht="13.5" customHeight="1">
      <c r="B28" s="163"/>
      <c r="C28" s="130"/>
      <c r="D28" s="130"/>
      <c r="E28" s="130"/>
      <c r="F28" s="164"/>
      <c r="G28" s="164"/>
    </row>
  </sheetData>
  <mergeCells count="27">
    <mergeCell ref="B27:B28"/>
    <mergeCell ref="C27:E28"/>
    <mergeCell ref="F27:G28"/>
    <mergeCell ref="B25:B26"/>
    <mergeCell ref="C25:E26"/>
    <mergeCell ref="F25:G26"/>
    <mergeCell ref="B23:B24"/>
    <mergeCell ref="C23:E24"/>
    <mergeCell ref="F23:G24"/>
    <mergeCell ref="B7:L7"/>
    <mergeCell ref="G9:I9"/>
    <mergeCell ref="C10:F10"/>
    <mergeCell ref="H10:L11"/>
    <mergeCell ref="C16:L16"/>
    <mergeCell ref="E8:G8"/>
    <mergeCell ref="C9:D9"/>
    <mergeCell ref="I20:O20"/>
    <mergeCell ref="C20:E20"/>
    <mergeCell ref="F20:G20"/>
    <mergeCell ref="C18:E18"/>
    <mergeCell ref="F18:G18"/>
    <mergeCell ref="C19:E19"/>
    <mergeCell ref="F19:G19"/>
    <mergeCell ref="C21:E21"/>
    <mergeCell ref="F21:G21"/>
    <mergeCell ref="C22:E22"/>
    <mergeCell ref="F22:G22"/>
  </mergeCells>
  <pageMargins left="0.7" right="0.7" top="0.75" bottom="0.75" header="0.3" footer="0.3"/>
  <pageSetup paperSize="9" scale="7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91E2-BD8D-4B4A-B6B9-33D3B364E1DF}">
  <dimension ref="A4:B6"/>
  <sheetViews>
    <sheetView workbookViewId="0">
      <selection activeCell="B6" sqref="B6"/>
    </sheetView>
  </sheetViews>
  <sheetFormatPr defaultRowHeight="13.2"/>
  <cols>
    <col min="1" max="1" width="14.109375" bestFit="1" customWidth="1"/>
    <col min="2" max="2" width="12" bestFit="1" customWidth="1"/>
  </cols>
  <sheetData>
    <row r="4" spans="1:2">
      <c r="A4">
        <v>4.25</v>
      </c>
      <c r="B4" s="109">
        <f>INVOICE!H33</f>
        <v>19213.72</v>
      </c>
    </row>
    <row r="5" spans="1:2">
      <c r="A5" s="110">
        <f>+(B4*A4)</f>
        <v>81658.31</v>
      </c>
      <c r="B5" s="109">
        <v>745</v>
      </c>
    </row>
    <row r="6" spans="1:2">
      <c r="A6" s="113">
        <f>+A5/B5</f>
        <v>109.60846979865771</v>
      </c>
      <c r="B6" s="111">
        <f>+A5/B4</f>
        <v>4.25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INVOICE</vt:lpstr>
      <vt:lpstr>PAC.LIST</vt:lpstr>
      <vt:lpstr>QUAL.CER.</vt:lpstr>
      <vt:lpstr>PRICE LIST</vt:lpstr>
      <vt:lpstr>Sayfa1</vt:lpstr>
      <vt:lpstr>INVOICE!Область_печати</vt:lpstr>
    </vt:vector>
  </TitlesOfParts>
  <Company>Naber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</dc:creator>
  <cp:lastModifiedBy>Домрачева Алёна</cp:lastModifiedBy>
  <cp:lastPrinted>2022-05-27T07:10:25Z</cp:lastPrinted>
  <dcterms:created xsi:type="dcterms:W3CDTF">2005-05-30T13:25:13Z</dcterms:created>
  <dcterms:modified xsi:type="dcterms:W3CDTF">2025-07-17T15:02:33Z</dcterms:modified>
</cp:coreProperties>
</file>